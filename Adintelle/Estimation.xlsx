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Estima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<sst xmlns="http://schemas.openxmlformats.org/spreadsheetml/2006/main" count="127" uniqueCount="71">
  <si>
    <t xml:space="preserve">Netsuite - Adintelle Integration </t>
  </si>
  <si>
    <t>Object/Record</t>
  </si>
  <si>
    <t>Direction from NS</t>
  </si>
  <si>
    <t>Trigger Method</t>
  </si>
  <si>
    <t>Method</t>
  </si>
  <si>
    <t>Frequency</t>
  </si>
  <si>
    <t>Approach(Suitescript)</t>
  </si>
  <si>
    <t>API Calls</t>
  </si>
  <si>
    <t>Solution Approach</t>
  </si>
  <si>
    <t>Assumptions</t>
  </si>
  <si>
    <t>Requirement Analysis</t>
  </si>
  <si>
    <t>Development</t>
  </si>
  <si>
    <t>Testing</t>
  </si>
  <si>
    <t>Deployment to Production</t>
  </si>
  <si>
    <t>Total</t>
  </si>
  <si>
    <t>CSV Import - Customer</t>
  </si>
  <si>
    <t>One time prelaunch activity</t>
  </si>
  <si>
    <t>CSV Import - Vendor</t>
  </si>
  <si>
    <t>Customer</t>
  </si>
  <si>
    <t>Outward</t>
  </si>
  <si>
    <t>Schedule/Batch</t>
  </si>
  <si>
    <t>GET</t>
  </si>
  <si>
    <t>Twice Daily</t>
  </si>
  <si>
    <t>RESTLET/Schedule</t>
  </si>
  <si>
    <t>Adintelle API - If BFL will use Schedule script</t>
  </si>
  <si>
    <t xml:space="preserve">1.Approach1 : (Restlet) - BFL will fetch all the customer record from NS which don't have Adintelle ID. Adintellet team will be hitting this restlet api on their system and will create customer record. As a prelaunch activity, we need to map an adintelle ID to the existing customers of Netsuite.
2.Approach2 : (Schedule) - Using Scheduler script, BFL will automatically fetch all Customers changed since the last run, splits their IDs into 50‑record batches, then loads each batch in the scheduler to POST a single payload to Adintelle and finally updates the “lastSyncDate”. By deploying two daily scheduled deployments at scheduled time, BFL will get an automated and safe sync that logs any batch successes or failures.
</t>
  </si>
  <si>
    <t xml:space="preserve">1.As a prelaunch activity,  do we need map the existing customers of Netsuite to adintelle ?
2.Adintelle should map internal Id of customer in NS as an external id </t>
  </si>
  <si>
    <t>Vendor</t>
  </si>
  <si>
    <t xml:space="preserve">1.Approach1 : (Restlet) - BFL will fetch all the vendor record from NS which don't have Adintelle ID. Adintellet team will be hitting this restlet api on their system and will create vendor record. As a prelaunch activity, we need to map an adintelle ID to the existing vendors of Netsuite.
2.Approach2 : (Schedule) - Using Scheduler script, BFL will automatically fetch all vendors changed since the last run, splits their IDs into 50‑record batches, then loads each batch in the scheduler to POST a single payload to Adintelle and finally updates the “lastSyncDate”. By deploying two daily scheduled deployments at scheduled time, BFL will get an automated and safe sync that logs any batch successes or failures.
</t>
  </si>
  <si>
    <t xml:space="preserve">1.As a prelaunch activity,  do we need map the existing vendor of Netsuite to adintelle ?
2.Adintelle should map internal Id of vendor in NS as an external id </t>
  </si>
  <si>
    <t>ITEM</t>
  </si>
  <si>
    <t>Inwards</t>
  </si>
  <si>
    <t>Event Basis</t>
  </si>
  <si>
    <t>POST</t>
  </si>
  <si>
    <t>RESTLET</t>
  </si>
  <si>
    <t>BFL will provide API</t>
  </si>
  <si>
    <t>1.As Adintelle will send a structured payload data to BFL for item creation they will need to hit NS Restlet endpoint.</t>
  </si>
  <si>
    <t>1.Service Sales &amp; Purchase Item will be sync to NS.</t>
  </si>
  <si>
    <t>Sales Order</t>
  </si>
  <si>
    <t>POST(CREATE)</t>
  </si>
  <si>
    <t>Everytime record is created or updated in Adintelle</t>
  </si>
  <si>
    <t>1.As Adintelle will send a structured payload data to BFL for SO creation they will need to hit NS Restlet endpoint. BFL need line level data along with HSN/SAC Code, Section Code and Billing address and Shipping address.</t>
  </si>
  <si>
    <t>1.Customer and Item has to be present at NS side.
2.Billing and shipping address has to be present in customer master of NS.</t>
  </si>
  <si>
    <t>PurchaseOrder</t>
  </si>
  <si>
    <t>1.As Adintelle will send a structured payload data to BFL for PO creation they will need to hit NS Restlet endpoint. BFL need line level data along with HSN/SAC Code, Section Code and Billing address and Shipping address.</t>
  </si>
  <si>
    <t>1.Vendor and Item has to be present at NS side.
2.Billing and shipping address has to be present in vendor master of NS.</t>
  </si>
  <si>
    <t>Invoice</t>
  </si>
  <si>
    <t>1.As SO record will already be present in NS, Adintelle will call NS custom made restlet with all the invoice data with SO reference then in NS side there will be a transformation process will be carried out which essentially link Invoice record with SO.</t>
  </si>
  <si>
    <t>1.SO has to be present at NS side before invoice creation.
2.If there is a short closure of SO then adintelle will send a flag along with invoice data.</t>
  </si>
  <si>
    <t>Bills</t>
  </si>
  <si>
    <t>1.As PO record will already be present in NS, Adintelle will call NS custom made restlet with all the bill data with PO reference then in NS side there will be a transformation process will be carried out which essentially link bill record with PO.</t>
  </si>
  <si>
    <t>1.PO has to be present at NS side before bill creation.</t>
  </si>
  <si>
    <t>Outwards</t>
  </si>
  <si>
    <t>POST(UPDATE)</t>
  </si>
  <si>
    <t>Everytime transaction is voided/rejected in NetSuite is then sent back to Adintelle</t>
  </si>
  <si>
    <t>User Event / Client Script</t>
  </si>
  <si>
    <t>Adintelle will provide API</t>
  </si>
  <si>
    <t>1.Adintelle will provide an API to which user event script of NS will call if invoice record get void/rejected.</t>
  </si>
  <si>
    <t>1.The previously send data by Adintelle for invoice will contain an exteranl id in their payload.</t>
  </si>
  <si>
    <t>1.Adintelle will provide an API to which user event script of NS will call if bill record get void/rejected.</t>
  </si>
  <si>
    <t>1.The previously send data by Adintelle for bill will contain an exteranl id in their payload.</t>
  </si>
  <si>
    <t>Credit Memo</t>
  </si>
  <si>
    <t xml:space="preserve">Everytime transaction is created </t>
  </si>
  <si>
    <t>1.Whenever credit memo get created against any invoice then payload will contains a flag with credit memo amount which will be sent to adintelle API.</t>
  </si>
  <si>
    <t>1.Adintelle will be responsible how they will manage this flag</t>
  </si>
  <si>
    <t>Debit Note</t>
  </si>
  <si>
    <t>1.Whenever debit note get created against any bill then payload will contains a flag with debit note amount which will be sent to adintelle API.</t>
  </si>
  <si>
    <t>IRN/QR</t>
  </si>
  <si>
    <t>Everytime IRN/QR is generated.</t>
  </si>
  <si>
    <t>1.Generated IRN code will be passed as a string value to Adintelle API</t>
  </si>
  <si>
    <t>Total Hours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</si>
</sst>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sz val="11"/>
      <color theme="5" tint="-0.25"/>
      <name val="Cambria"/>
      <charset val="134"/>
    </font>
    <font>
      <sz val="11"/>
      <color theme="1"/>
      <name val="Cambria"/>
      <charset val="134"/>
    </font>
    <font>
      <sz val="14"/>
      <color theme="5" tint="-0.25"/>
      <name val="Cambria"/>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medium">
        <color auto="1"/>
      </top>
      <bottom style="medium">
        <color auto="1"/>
      </bottom>
      <diagonal/>
    </border>
    <border>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right style="thin">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6"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7" applyNumberFormat="0" applyFill="0" applyAlignment="0" applyProtection="0">
      <alignment vertical="center"/>
    </xf>
    <xf numFmtId="0" fontId="10" fillId="0" borderId="17" applyNumberFormat="0" applyFill="0" applyAlignment="0" applyProtection="0">
      <alignment vertical="center"/>
    </xf>
    <xf numFmtId="0" fontId="11" fillId="0" borderId="18" applyNumberFormat="0" applyFill="0" applyAlignment="0" applyProtection="0">
      <alignment vertical="center"/>
    </xf>
    <xf numFmtId="0" fontId="11" fillId="0" borderId="0" applyNumberFormat="0" applyFill="0" applyBorder="0" applyAlignment="0" applyProtection="0">
      <alignment vertical="center"/>
    </xf>
    <xf numFmtId="0" fontId="12" fillId="3" borderId="19" applyNumberFormat="0" applyAlignment="0" applyProtection="0">
      <alignment vertical="center"/>
    </xf>
    <xf numFmtId="0" fontId="13" fillId="4" borderId="20" applyNumberFormat="0" applyAlignment="0" applyProtection="0">
      <alignment vertical="center"/>
    </xf>
    <xf numFmtId="0" fontId="14" fillId="4" borderId="19" applyNumberFormat="0" applyAlignment="0" applyProtection="0">
      <alignment vertical="center"/>
    </xf>
    <xf numFmtId="0" fontId="15" fillId="5" borderId="21" applyNumberFormat="0" applyAlignment="0" applyProtection="0">
      <alignment vertical="center"/>
    </xf>
    <xf numFmtId="0" fontId="16" fillId="0" borderId="22" applyNumberFormat="0" applyFill="0" applyAlignment="0" applyProtection="0">
      <alignment vertical="center"/>
    </xf>
    <xf numFmtId="0" fontId="17" fillId="0" borderId="23"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28">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applyFont="1" applyAlignment="1">
      <alignment horizontal="left" vertical="center"/>
    </xf>
    <xf numFmtId="0" fontId="3" fillId="0" borderId="0" xfId="0" applyFont="1">
      <alignment vertical="center"/>
    </xf>
    <xf numFmtId="0" fontId="1" fillId="0" borderId="0" xfId="0" applyFont="1" applyAlignment="1">
      <alignment horizontal="left" vertical="center"/>
    </xf>
    <xf numFmtId="0" fontId="1" fillId="0" borderId="1" xfId="0" applyFont="1" applyBorder="1" applyAlignment="1">
      <alignment horizontal="justify" vertical="center"/>
    </xf>
    <xf numFmtId="0" fontId="1" fillId="0" borderId="2" xfId="0" applyFont="1" applyBorder="1" applyAlignment="1">
      <alignment horizontal="justify" vertical="center"/>
    </xf>
    <xf numFmtId="0" fontId="1" fillId="0" borderId="3" xfId="0" applyFont="1" applyBorder="1" applyAlignment="1">
      <alignment horizontal="justify" vertical="center"/>
    </xf>
    <xf numFmtId="0" fontId="2" fillId="0" borderId="4" xfId="0" applyFont="1" applyBorder="1" applyAlignment="1">
      <alignment horizontal="justify" vertical="center"/>
    </xf>
    <xf numFmtId="0" fontId="2" fillId="0" borderId="4" xfId="0" applyFont="1" applyBorder="1" applyAlignment="1">
      <alignment horizontal="justify" vertical="center"/>
    </xf>
    <xf numFmtId="0" fontId="1" fillId="0" borderId="5" xfId="0" applyFont="1" applyBorder="1" applyAlignment="1">
      <alignment horizontal="justify" vertical="center"/>
    </xf>
    <xf numFmtId="0" fontId="2" fillId="0" borderId="6" xfId="0" applyFont="1" applyBorder="1" applyAlignment="1">
      <alignment horizontal="justify" vertical="center"/>
    </xf>
    <xf numFmtId="0" fontId="2" fillId="0" borderId="6" xfId="0" applyFont="1" applyBorder="1" applyAlignment="1">
      <alignment horizontal="justify" vertical="center"/>
    </xf>
    <xf numFmtId="0" fontId="2" fillId="0" borderId="6" xfId="0" applyFont="1" applyBorder="1" applyAlignment="1">
      <alignment horizontal="justify" vertical="center" wrapText="1"/>
    </xf>
    <xf numFmtId="0" fontId="1" fillId="0" borderId="7" xfId="0" applyFont="1" applyBorder="1" applyAlignment="1">
      <alignment horizontal="justify" vertical="center"/>
    </xf>
    <xf numFmtId="0" fontId="2" fillId="0" borderId="8" xfId="0" applyFont="1" applyBorder="1" applyAlignment="1">
      <alignment horizontal="justify" vertical="center"/>
    </xf>
    <xf numFmtId="0" fontId="2" fillId="0" borderId="0" xfId="0" applyNumberFormat="1" applyFont="1" applyAlignment="1">
      <alignment horizontal="left" vertical="center"/>
    </xf>
    <xf numFmtId="0" fontId="2" fillId="0" borderId="9" xfId="0" applyFont="1" applyBorder="1" applyAlignment="1">
      <alignment horizontal="justify" vertical="center"/>
    </xf>
    <xf numFmtId="0" fontId="2" fillId="0" borderId="10" xfId="0" applyFont="1" applyBorder="1" applyAlignment="1">
      <alignment horizontal="justify" vertical="center"/>
    </xf>
    <xf numFmtId="0" fontId="1" fillId="0" borderId="11" xfId="0" applyFont="1" applyBorder="1" applyAlignment="1">
      <alignment horizontal="justify" vertical="center"/>
    </xf>
    <xf numFmtId="0" fontId="2" fillId="0" borderId="12" xfId="0" applyFont="1" applyBorder="1" applyAlignment="1">
      <alignment horizontal="justify" vertical="center"/>
    </xf>
    <xf numFmtId="0" fontId="2" fillId="0" borderId="13" xfId="0" applyFont="1" applyBorder="1" applyAlignment="1">
      <alignment horizontal="justify" vertical="center"/>
    </xf>
    <xf numFmtId="0" fontId="2" fillId="0" borderId="13" xfId="0" applyNumberFormat="1" applyFont="1" applyBorder="1" applyAlignment="1">
      <alignment horizontal="justify" vertical="center"/>
    </xf>
    <xf numFmtId="0" fontId="2" fillId="0" borderId="8" xfId="0" applyFont="1" applyBorder="1" applyAlignment="1">
      <alignment horizontal="justify" vertical="center"/>
    </xf>
    <xf numFmtId="0" fontId="2" fillId="0" borderId="14" xfId="0" applyNumberFormat="1" applyFont="1" applyBorder="1" applyAlignment="1">
      <alignment horizontal="justify" vertical="center"/>
    </xf>
    <xf numFmtId="0" fontId="2" fillId="0" borderId="15" xfId="0" applyFont="1" applyBorder="1" applyAlignment="1">
      <alignment horizontal="justify" vertical="center"/>
    </xf>
    <xf numFmtId="0" fontId="2" fillId="0" borderId="11" xfId="0" applyNumberFormat="1" applyFont="1" applyBorder="1" applyAlignment="1">
      <alignment horizontal="justify"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8"/>
  <sheetViews>
    <sheetView tabSelected="1" zoomScale="71" zoomScaleNormal="71" workbookViewId="0">
      <selection activeCell="C6" sqref="C6"/>
    </sheetView>
  </sheetViews>
  <sheetFormatPr defaultColWidth="8.72727272727273" defaultRowHeight="14"/>
  <cols>
    <col min="1" max="1" width="8.72727272727273" style="2"/>
    <col min="2" max="2" width="52.3454545454545" style="1" customWidth="1"/>
    <col min="3" max="3" width="17.0909090909091" style="2" customWidth="1"/>
    <col min="4" max="4" width="15.0909090909091" style="2" customWidth="1"/>
    <col min="5" max="5" width="14.3636363636364" style="2" customWidth="1"/>
    <col min="6" max="6" width="76.0909090909091" style="2" customWidth="1"/>
    <col min="7" max="7" width="23.5454545454545" style="2" customWidth="1"/>
    <col min="8" max="8" width="24.1636363636364" style="2" customWidth="1"/>
    <col min="9" max="9" width="84.7090909090909" style="2" customWidth="1"/>
    <col min="10" max="10" width="49.1545454545455" style="2" customWidth="1"/>
    <col min="11" max="11" width="19.9090909090909" style="2" customWidth="1"/>
    <col min="12" max="12" width="16.4545454545455" style="2" customWidth="1"/>
    <col min="13" max="13" width="8.72727272727273" style="2"/>
    <col min="14" max="14" width="24.5454545454545" style="2" customWidth="1"/>
    <col min="15" max="15" width="8.72727272727273" style="3"/>
    <col min="16" max="16384" width="8.72727272727273" style="2"/>
  </cols>
  <sheetData>
    <row r="1" ht="29" customHeight="1" spans="2:2">
      <c r="B1" s="4" t="s">
        <v>0</v>
      </c>
    </row>
    <row r="2" ht="14.75"/>
    <row r="3" s="1" customFormat="1" ht="14.75" spans="1:15">
      <c r="A3" s="5"/>
      <c r="B3" s="6" t="s">
        <v>1</v>
      </c>
      <c r="C3" s="7" t="s">
        <v>2</v>
      </c>
      <c r="D3" s="7" t="s">
        <v>3</v>
      </c>
      <c r="E3" s="7" t="s">
        <v>4</v>
      </c>
      <c r="F3" s="7" t="s">
        <v>5</v>
      </c>
      <c r="G3" s="7" t="s">
        <v>6</v>
      </c>
      <c r="H3" s="7" t="s">
        <v>7</v>
      </c>
      <c r="I3" s="7" t="s">
        <v>8</v>
      </c>
      <c r="J3" s="7" t="s">
        <v>9</v>
      </c>
      <c r="K3" s="7" t="s">
        <v>10</v>
      </c>
      <c r="L3" s="7" t="s">
        <v>11</v>
      </c>
      <c r="M3" s="7" t="s">
        <v>12</v>
      </c>
      <c r="N3" s="7" t="s">
        <v>13</v>
      </c>
      <c r="O3" s="20" t="s">
        <v>14</v>
      </c>
    </row>
    <row r="4" spans="1:15">
      <c r="A4" s="3"/>
      <c r="B4" s="8" t="s">
        <v>15</v>
      </c>
      <c r="C4" s="9"/>
      <c r="D4" s="9"/>
      <c r="E4" s="9"/>
      <c r="F4" s="10" t="s">
        <v>16</v>
      </c>
      <c r="G4" s="9"/>
      <c r="H4" s="9"/>
      <c r="I4" s="9"/>
      <c r="J4" s="9"/>
      <c r="K4" s="9"/>
      <c r="L4" s="9"/>
      <c r="M4" s="9"/>
      <c r="N4" s="9"/>
      <c r="O4" s="21">
        <v>15</v>
      </c>
    </row>
    <row r="5" spans="1:15">
      <c r="A5" s="3"/>
      <c r="B5" s="11" t="s">
        <v>17</v>
      </c>
      <c r="C5" s="12"/>
      <c r="D5" s="12"/>
      <c r="E5" s="12"/>
      <c r="F5" s="13" t="s">
        <v>16</v>
      </c>
      <c r="G5" s="12"/>
      <c r="H5" s="12"/>
      <c r="I5" s="12"/>
      <c r="J5" s="12"/>
      <c r="K5" s="12"/>
      <c r="L5" s="12"/>
      <c r="M5" s="12"/>
      <c r="N5" s="12"/>
      <c r="O5" s="22">
        <v>15</v>
      </c>
    </row>
    <row r="6" ht="181" customHeight="1" spans="1:15">
      <c r="A6" s="3"/>
      <c r="B6" s="11" t="s">
        <v>18</v>
      </c>
      <c r="C6" s="13" t="s">
        <v>19</v>
      </c>
      <c r="D6" s="13" t="s">
        <v>20</v>
      </c>
      <c r="E6" s="13" t="s">
        <v>21</v>
      </c>
      <c r="F6" s="13" t="s">
        <v>22</v>
      </c>
      <c r="G6" s="13" t="s">
        <v>23</v>
      </c>
      <c r="H6" s="14" t="s">
        <v>24</v>
      </c>
      <c r="I6" s="14" t="s">
        <v>25</v>
      </c>
      <c r="J6" s="14" t="s">
        <v>26</v>
      </c>
      <c r="K6" s="12">
        <v>5</v>
      </c>
      <c r="L6" s="12">
        <v>30</v>
      </c>
      <c r="M6" s="12">
        <v>10</v>
      </c>
      <c r="N6" s="12">
        <v>5</v>
      </c>
      <c r="O6" s="23">
        <f>SUM(K6:N6)</f>
        <v>50</v>
      </c>
    </row>
    <row r="7" ht="176" customHeight="1" spans="1:15">
      <c r="A7" s="3"/>
      <c r="B7" s="11" t="s">
        <v>27</v>
      </c>
      <c r="C7" s="13" t="s">
        <v>19</v>
      </c>
      <c r="D7" s="13" t="s">
        <v>20</v>
      </c>
      <c r="E7" s="13" t="s">
        <v>21</v>
      </c>
      <c r="F7" s="13" t="s">
        <v>22</v>
      </c>
      <c r="G7" s="13" t="s">
        <v>23</v>
      </c>
      <c r="H7" s="14" t="s">
        <v>24</v>
      </c>
      <c r="I7" s="14" t="s">
        <v>28</v>
      </c>
      <c r="J7" s="14" t="s">
        <v>29</v>
      </c>
      <c r="K7" s="12">
        <v>5</v>
      </c>
      <c r="L7" s="12">
        <v>30</v>
      </c>
      <c r="M7" s="12">
        <v>10</v>
      </c>
      <c r="N7" s="12">
        <v>5</v>
      </c>
      <c r="O7" s="23">
        <f t="shared" ref="O7:O17" si="0">SUM(K7:N7)</f>
        <v>50</v>
      </c>
    </row>
    <row r="8" ht="40" customHeight="1" spans="1:15">
      <c r="A8" s="3"/>
      <c r="B8" s="11" t="s">
        <v>30</v>
      </c>
      <c r="C8" s="13" t="s">
        <v>31</v>
      </c>
      <c r="D8" s="13" t="s">
        <v>32</v>
      </c>
      <c r="E8" s="13" t="s">
        <v>33</v>
      </c>
      <c r="F8" s="12"/>
      <c r="G8" s="13" t="s">
        <v>34</v>
      </c>
      <c r="H8" s="13" t="s">
        <v>35</v>
      </c>
      <c r="I8" s="14" t="s">
        <v>36</v>
      </c>
      <c r="J8" s="13" t="s">
        <v>37</v>
      </c>
      <c r="K8" s="12">
        <v>5</v>
      </c>
      <c r="L8" s="12">
        <v>20</v>
      </c>
      <c r="M8" s="12">
        <v>10</v>
      </c>
      <c r="N8" s="12">
        <v>5</v>
      </c>
      <c r="O8" s="23">
        <f>SUM(K8:N8)</f>
        <v>40</v>
      </c>
    </row>
    <row r="9" ht="69" customHeight="1" spans="1:15">
      <c r="A9" s="3"/>
      <c r="B9" s="11" t="s">
        <v>38</v>
      </c>
      <c r="C9" s="13" t="s">
        <v>31</v>
      </c>
      <c r="D9" s="13" t="s">
        <v>32</v>
      </c>
      <c r="E9" s="13" t="s">
        <v>39</v>
      </c>
      <c r="F9" s="13" t="s">
        <v>40</v>
      </c>
      <c r="G9" s="13" t="s">
        <v>34</v>
      </c>
      <c r="H9" s="13" t="s">
        <v>35</v>
      </c>
      <c r="I9" s="13" t="s">
        <v>41</v>
      </c>
      <c r="J9" s="14" t="s">
        <v>42</v>
      </c>
      <c r="K9" s="12">
        <v>5</v>
      </c>
      <c r="L9" s="12">
        <v>55</v>
      </c>
      <c r="M9" s="12">
        <v>15</v>
      </c>
      <c r="N9" s="12">
        <v>5</v>
      </c>
      <c r="O9" s="23">
        <f>SUM(K9:N9)</f>
        <v>80</v>
      </c>
    </row>
    <row r="10" ht="42" spans="1:15">
      <c r="A10" s="3"/>
      <c r="B10" s="11" t="s">
        <v>43</v>
      </c>
      <c r="C10" s="13" t="s">
        <v>31</v>
      </c>
      <c r="D10" s="13" t="s">
        <v>32</v>
      </c>
      <c r="E10" s="13" t="s">
        <v>39</v>
      </c>
      <c r="F10" s="13" t="s">
        <v>40</v>
      </c>
      <c r="G10" s="13" t="s">
        <v>34</v>
      </c>
      <c r="H10" s="13" t="s">
        <v>35</v>
      </c>
      <c r="I10" s="13" t="s">
        <v>44</v>
      </c>
      <c r="J10" s="14" t="s">
        <v>45</v>
      </c>
      <c r="K10" s="12">
        <v>5</v>
      </c>
      <c r="L10" s="12">
        <v>55</v>
      </c>
      <c r="M10" s="12">
        <v>15</v>
      </c>
      <c r="N10" s="12">
        <v>5</v>
      </c>
      <c r="O10" s="23">
        <f t="shared" si="0"/>
        <v>80</v>
      </c>
    </row>
    <row r="11" ht="89" customHeight="1" spans="1:15">
      <c r="A11" s="3"/>
      <c r="B11" s="11" t="s">
        <v>46</v>
      </c>
      <c r="C11" s="13" t="s">
        <v>31</v>
      </c>
      <c r="D11" s="13" t="s">
        <v>32</v>
      </c>
      <c r="E11" s="13" t="s">
        <v>39</v>
      </c>
      <c r="F11" s="13" t="s">
        <v>40</v>
      </c>
      <c r="G11" s="13" t="s">
        <v>34</v>
      </c>
      <c r="H11" s="13" t="s">
        <v>35</v>
      </c>
      <c r="I11" s="13" t="s">
        <v>47</v>
      </c>
      <c r="J11" s="14" t="s">
        <v>48</v>
      </c>
      <c r="K11" s="12">
        <v>5</v>
      </c>
      <c r="L11" s="12">
        <v>60</v>
      </c>
      <c r="M11" s="12">
        <v>20</v>
      </c>
      <c r="N11" s="12">
        <v>5</v>
      </c>
      <c r="O11" s="23">
        <f t="shared" si="0"/>
        <v>90</v>
      </c>
    </row>
    <row r="12" ht="64" customHeight="1" spans="1:15">
      <c r="A12" s="3"/>
      <c r="B12" s="11" t="s">
        <v>49</v>
      </c>
      <c r="C12" s="13" t="s">
        <v>31</v>
      </c>
      <c r="D12" s="13" t="s">
        <v>32</v>
      </c>
      <c r="E12" s="13" t="s">
        <v>39</v>
      </c>
      <c r="F12" s="13" t="s">
        <v>40</v>
      </c>
      <c r="G12" s="13" t="s">
        <v>34</v>
      </c>
      <c r="H12" s="13" t="s">
        <v>35</v>
      </c>
      <c r="I12" s="13" t="s">
        <v>50</v>
      </c>
      <c r="J12" s="14" t="s">
        <v>51</v>
      </c>
      <c r="K12" s="12">
        <v>5</v>
      </c>
      <c r="L12" s="12">
        <v>60</v>
      </c>
      <c r="M12" s="12">
        <v>20</v>
      </c>
      <c r="N12" s="12">
        <v>5</v>
      </c>
      <c r="O12" s="23">
        <f t="shared" si="0"/>
        <v>90</v>
      </c>
    </row>
    <row r="13" ht="39" customHeight="1" spans="1:15">
      <c r="A13" s="3"/>
      <c r="B13" s="11" t="s">
        <v>46</v>
      </c>
      <c r="C13" s="13" t="s">
        <v>52</v>
      </c>
      <c r="D13" s="13" t="s">
        <v>32</v>
      </c>
      <c r="E13" s="13" t="s">
        <v>53</v>
      </c>
      <c r="F13" s="13" t="s">
        <v>54</v>
      </c>
      <c r="G13" s="13" t="s">
        <v>55</v>
      </c>
      <c r="H13" s="13" t="s">
        <v>56</v>
      </c>
      <c r="I13" s="13" t="s">
        <v>57</v>
      </c>
      <c r="J13" s="13" t="s">
        <v>58</v>
      </c>
      <c r="K13" s="12">
        <v>3</v>
      </c>
      <c r="L13" s="12">
        <v>15</v>
      </c>
      <c r="M13" s="12">
        <v>5</v>
      </c>
      <c r="N13" s="12">
        <v>2</v>
      </c>
      <c r="O13" s="23">
        <f t="shared" si="0"/>
        <v>25</v>
      </c>
    </row>
    <row r="14" ht="32" customHeight="1" spans="1:15">
      <c r="A14" s="3"/>
      <c r="B14" s="11" t="s">
        <v>49</v>
      </c>
      <c r="C14" s="13" t="s">
        <v>52</v>
      </c>
      <c r="D14" s="13" t="s">
        <v>32</v>
      </c>
      <c r="E14" s="13" t="s">
        <v>53</v>
      </c>
      <c r="F14" s="13" t="s">
        <v>54</v>
      </c>
      <c r="G14" s="13" t="s">
        <v>55</v>
      </c>
      <c r="H14" s="13" t="s">
        <v>56</v>
      </c>
      <c r="I14" s="13" t="s">
        <v>59</v>
      </c>
      <c r="J14" s="13" t="s">
        <v>60</v>
      </c>
      <c r="K14" s="12">
        <v>3</v>
      </c>
      <c r="L14" s="12">
        <v>15</v>
      </c>
      <c r="M14" s="12">
        <v>5</v>
      </c>
      <c r="N14" s="12">
        <v>2</v>
      </c>
      <c r="O14" s="23">
        <f t="shared" si="0"/>
        <v>25</v>
      </c>
    </row>
    <row r="15" ht="37" customHeight="1" spans="1:15">
      <c r="A15" s="3"/>
      <c r="B15" s="11" t="s">
        <v>61</v>
      </c>
      <c r="C15" s="13" t="s">
        <v>52</v>
      </c>
      <c r="D15" s="13" t="s">
        <v>32</v>
      </c>
      <c r="E15" s="13" t="s">
        <v>53</v>
      </c>
      <c r="F15" s="13" t="s">
        <v>62</v>
      </c>
      <c r="G15" s="13" t="s">
        <v>55</v>
      </c>
      <c r="H15" s="13" t="s">
        <v>56</v>
      </c>
      <c r="I15" s="13" t="s">
        <v>63</v>
      </c>
      <c r="J15" s="13" t="s">
        <v>64</v>
      </c>
      <c r="K15" s="12">
        <v>3</v>
      </c>
      <c r="L15" s="12">
        <v>15</v>
      </c>
      <c r="M15" s="12">
        <v>5</v>
      </c>
      <c r="N15" s="12">
        <v>2</v>
      </c>
      <c r="O15" s="23">
        <f t="shared" si="0"/>
        <v>25</v>
      </c>
    </row>
    <row r="16" ht="42" customHeight="1" spans="1:15">
      <c r="A16" s="3"/>
      <c r="B16" s="11" t="s">
        <v>65</v>
      </c>
      <c r="C16" s="13" t="s">
        <v>52</v>
      </c>
      <c r="D16" s="13" t="s">
        <v>32</v>
      </c>
      <c r="E16" s="13" t="s">
        <v>53</v>
      </c>
      <c r="F16" s="13" t="s">
        <v>62</v>
      </c>
      <c r="G16" s="13" t="s">
        <v>55</v>
      </c>
      <c r="H16" s="13" t="s">
        <v>56</v>
      </c>
      <c r="I16" s="13" t="s">
        <v>66</v>
      </c>
      <c r="J16" s="13" t="s">
        <v>64</v>
      </c>
      <c r="K16" s="12">
        <v>3</v>
      </c>
      <c r="L16" s="12">
        <v>15</v>
      </c>
      <c r="M16" s="12">
        <v>5</v>
      </c>
      <c r="N16" s="12">
        <v>2</v>
      </c>
      <c r="O16" s="23">
        <f t="shared" si="0"/>
        <v>25</v>
      </c>
    </row>
    <row r="17" ht="43" customHeight="1" spans="1:15">
      <c r="A17" s="3"/>
      <c r="B17" s="15" t="s">
        <v>67</v>
      </c>
      <c r="C17" s="16" t="s">
        <v>52</v>
      </c>
      <c r="D17" s="16" t="s">
        <v>32</v>
      </c>
      <c r="E17" s="16" t="s">
        <v>53</v>
      </c>
      <c r="F17" s="16" t="s">
        <v>68</v>
      </c>
      <c r="G17" s="16" t="s">
        <v>55</v>
      </c>
      <c r="H17" s="13" t="s">
        <v>56</v>
      </c>
      <c r="I17" s="16" t="s">
        <v>69</v>
      </c>
      <c r="J17" s="16" t="s">
        <v>64</v>
      </c>
      <c r="K17" s="24">
        <v>3</v>
      </c>
      <c r="L17" s="24">
        <v>20</v>
      </c>
      <c r="M17" s="24">
        <v>5</v>
      </c>
      <c r="N17" s="24">
        <v>2</v>
      </c>
      <c r="O17" s="25">
        <f t="shared" si="0"/>
        <v>30</v>
      </c>
    </row>
    <row r="18" ht="14.75" spans="1:15">
      <c r="A18" s="17"/>
      <c r="B18" s="6" t="s">
        <v>70</v>
      </c>
      <c r="C18" s="18"/>
      <c r="D18" s="19"/>
      <c r="E18" s="19"/>
      <c r="F18" s="19"/>
      <c r="G18" s="19"/>
      <c r="H18" s="19"/>
      <c r="I18" s="19"/>
      <c r="J18" s="19"/>
      <c r="K18" s="19"/>
      <c r="L18" s="19"/>
      <c r="M18" s="19"/>
      <c r="N18" s="26"/>
      <c r="O18" s="27">
        <f>SUM(O4:O17)</f>
        <v>640</v>
      </c>
    </row>
  </sheetData>
  <mergeCells count="1">
    <mergeCell ref="C18:N1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Estimates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KalyaniChaudhari</dc:creator>
  <cp:lastModifiedBy>Kalyani Chaudhari</cp:lastModifiedBy>
  <dcterms:created xsi:type="dcterms:W3CDTF">2025-07-28T09:52:14Z</dcterms:created>
  <dcterms:modified xsi:type="dcterms:W3CDTF">2025-07-28T12:20:59Z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AE8B43AEC7BB46AB8CD0166B7423B4E7_11</vt:lpwstr>
  </property>
  <property fmtid="{D5CDD505-2E9C-101B-9397-08002B2CF9AE}" pid="3" name="KSOProductBuildVer">
    <vt:lpwstr>1033-12.2.0.21931</vt:lpwstr>
  </property>
</Properties>
</file>